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it/Documents/Universities/TAMU/csce633-ml/HW-4/MathProblem/"/>
    </mc:Choice>
  </mc:AlternateContent>
  <xr:revisionPtr revIDLastSave="0" documentId="13_ncr:1_{EDB87F95-312C-E240-8CEF-553535C9BD45}" xr6:coauthVersionLast="47" xr6:coauthVersionMax="47" xr10:uidLastSave="{00000000-0000-0000-0000-000000000000}"/>
  <bookViews>
    <workbookView xWindow="2840" yWindow="1920" windowWidth="24880" windowHeight="21740" activeTab="1" xr2:uid="{DA4C47CD-34D1-5143-ADDE-FBD1EA2A451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B17" i="2"/>
  <c r="F16" i="2"/>
  <c r="B16" i="2"/>
  <c r="B26" i="2"/>
  <c r="D26" i="2"/>
  <c r="F26" i="2"/>
  <c r="B28" i="2"/>
  <c r="D28" i="2"/>
  <c r="F28" i="2"/>
  <c r="F24" i="2"/>
  <c r="D24" i="2"/>
  <c r="B24" i="2"/>
  <c r="D18" i="2"/>
  <c r="C20" i="2"/>
  <c r="B20" i="2"/>
  <c r="D20" i="2"/>
  <c r="D19" i="2"/>
  <c r="F20" i="2"/>
  <c r="C17" i="2"/>
  <c r="D17" i="2"/>
  <c r="F17" i="2"/>
  <c r="B18" i="2"/>
  <c r="C18" i="2"/>
  <c r="E18" i="2"/>
  <c r="F18" i="2"/>
  <c r="B19" i="2"/>
  <c r="C19" i="2"/>
  <c r="E19" i="2"/>
  <c r="F19" i="2"/>
  <c r="E20" i="2"/>
  <c r="C16" i="2"/>
  <c r="D16" i="2"/>
  <c r="E16" i="2"/>
  <c r="K22" i="1"/>
  <c r="I5" i="1"/>
  <c r="I6" i="1"/>
  <c r="I7" i="1"/>
  <c r="I8" i="1"/>
  <c r="I4" i="1"/>
  <c r="L10" i="1"/>
  <c r="G9" i="1"/>
  <c r="G13" i="1" s="1"/>
  <c r="G8" i="1"/>
  <c r="G7" i="1"/>
  <c r="G6" i="1"/>
  <c r="D4" i="1"/>
  <c r="G5" i="1" s="1"/>
  <c r="I9" i="1" l="1"/>
  <c r="G4" i="1"/>
  <c r="K9" i="1" l="1"/>
  <c r="I17" i="1"/>
  <c r="I15" i="1"/>
  <c r="I16" i="1"/>
</calcChain>
</file>

<file path=xl/sharedStrings.xml><?xml version="1.0" encoding="utf-8"?>
<sst xmlns="http://schemas.openxmlformats.org/spreadsheetml/2006/main" count="2" uniqueCount="2">
  <si>
    <t xml:space="preserve">stride 1 </t>
  </si>
  <si>
    <t>Stride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</si>
</sst>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9F88-46C7-8F44-B224-890A71B2B866}">
  <dimension ref="B2:L22"/>
  <sheetViews>
    <sheetView topLeftCell="A16" workbookViewId="0">
      <selection activeCell="K23" sqref="K23"/>
    </sheetView>
  </sheetViews>
  <sheetFormatPr baseColWidth="10" defaultRowHeight="16" x14ac:dyDescent="0.2"/>
  <cols>
    <col min="3" max="3" width="11.1640625" style="1" bestFit="1" customWidth="1"/>
    <col min="4" max="4" width="12.6640625" style="1" bestFit="1" customWidth="1"/>
    <col min="5" max="5" width="11" style="2" bestFit="1" customWidth="1"/>
    <col min="6" max="6" width="10.83203125" style="1"/>
    <col min="7" max="7" width="11.1640625" style="1" bestFit="1" customWidth="1"/>
    <col min="8" max="8" width="10.83203125" style="1"/>
    <col min="9" max="10" width="11.1640625" style="1" bestFit="1" customWidth="1"/>
    <col min="11" max="11" width="19" style="1" bestFit="1" customWidth="1"/>
  </cols>
  <sheetData>
    <row r="2" spans="2:12" x14ac:dyDescent="0.2">
      <c r="B2">
        <v>350000</v>
      </c>
    </row>
    <row r="3" spans="2:12" x14ac:dyDescent="0.2">
      <c r="D3" s="1">
        <v>0</v>
      </c>
    </row>
    <row r="4" spans="2:12" x14ac:dyDescent="0.2">
      <c r="C4" s="1">
        <v>11925</v>
      </c>
      <c r="D4" s="1">
        <f>2*C4</f>
        <v>23850</v>
      </c>
      <c r="E4" s="2">
        <v>0.1</v>
      </c>
      <c r="G4" s="1">
        <f>D4-D3</f>
        <v>23850</v>
      </c>
      <c r="I4" s="1">
        <f>G4*E4</f>
        <v>2385</v>
      </c>
    </row>
    <row r="5" spans="2:12" x14ac:dyDescent="0.2">
      <c r="C5" s="1">
        <v>48474</v>
      </c>
      <c r="D5" s="1">
        <v>96950</v>
      </c>
      <c r="E5" s="2">
        <v>0.12</v>
      </c>
      <c r="G5" s="1">
        <f>D5-D4</f>
        <v>73100</v>
      </c>
      <c r="I5" s="1">
        <f t="shared" ref="I5:I9" si="0">G5*E5</f>
        <v>8772</v>
      </c>
    </row>
    <row r="6" spans="2:12" x14ac:dyDescent="0.2">
      <c r="C6" s="1">
        <v>103350</v>
      </c>
      <c r="D6" s="1">
        <v>206700</v>
      </c>
      <c r="E6" s="2">
        <v>0.22</v>
      </c>
      <c r="G6" s="1">
        <f>D6-D5</f>
        <v>109750</v>
      </c>
      <c r="I6" s="1">
        <f t="shared" si="0"/>
        <v>24145</v>
      </c>
    </row>
    <row r="7" spans="2:12" x14ac:dyDescent="0.2">
      <c r="C7" s="1">
        <v>197300</v>
      </c>
      <c r="D7" s="1">
        <v>360000</v>
      </c>
      <c r="E7" s="2">
        <v>0.32</v>
      </c>
      <c r="G7" s="1">
        <f>D7-D6</f>
        <v>153300</v>
      </c>
      <c r="I7" s="1">
        <f t="shared" si="0"/>
        <v>49056</v>
      </c>
    </row>
    <row r="8" spans="2:12" x14ac:dyDescent="0.2">
      <c r="D8" s="1">
        <v>501050</v>
      </c>
      <c r="E8" s="2">
        <v>0.35</v>
      </c>
      <c r="G8" s="1">
        <f>D8-D7</f>
        <v>141050</v>
      </c>
      <c r="I8" s="1">
        <f t="shared" si="0"/>
        <v>49367.5</v>
      </c>
    </row>
    <row r="9" spans="2:12" x14ac:dyDescent="0.2">
      <c r="D9" s="1">
        <v>1100000</v>
      </c>
      <c r="E9" s="2">
        <v>0.35</v>
      </c>
      <c r="G9" s="1">
        <f>D9-D8</f>
        <v>598950</v>
      </c>
      <c r="I9" s="1">
        <f t="shared" si="0"/>
        <v>209632.5</v>
      </c>
      <c r="K9" s="1">
        <f>SUM(I4:I9)</f>
        <v>343358</v>
      </c>
    </row>
    <row r="10" spans="2:12" x14ac:dyDescent="0.2">
      <c r="L10">
        <f>E9/100*D9</f>
        <v>3849.9999999999995</v>
      </c>
    </row>
    <row r="13" spans="2:12" x14ac:dyDescent="0.2">
      <c r="G13" s="1">
        <f>SUM(G4:G12)</f>
        <v>1100000</v>
      </c>
    </row>
    <row r="15" spans="2:12" x14ac:dyDescent="0.2">
      <c r="I15" s="1">
        <f>G5+G4</f>
        <v>96950</v>
      </c>
    </row>
    <row r="16" spans="2:12" x14ac:dyDescent="0.2">
      <c r="I16" s="1">
        <f>G6+G5+G4</f>
        <v>206700</v>
      </c>
    </row>
    <row r="17" spans="9:11" x14ac:dyDescent="0.2">
      <c r="I17" s="1">
        <f>G7+G6+G5+G4</f>
        <v>360000</v>
      </c>
    </row>
    <row r="22" spans="9:11" x14ac:dyDescent="0.2">
      <c r="J22" s="1">
        <v>750000</v>
      </c>
      <c r="K22" s="1">
        <f>J22-(J22*43/100)</f>
        <v>427500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7990-C445-4F40-B738-835A08918C24}">
  <dimension ref="A1:H28"/>
  <sheetViews>
    <sheetView tabSelected="1" zoomScale="150" zoomScaleNormal="150" workbookViewId="0">
      <selection activeCell="D18" sqref="D18:F20"/>
    </sheetView>
  </sheetViews>
  <sheetFormatPr baseColWidth="10" defaultRowHeight="16" x14ac:dyDescent="0.2"/>
  <cols>
    <col min="1" max="7" width="3.33203125" customWidth="1"/>
  </cols>
  <sheetData>
    <row r="1" spans="1:8" x14ac:dyDescent="0.2">
      <c r="A1" s="3">
        <v>0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</row>
    <row r="2" spans="1:8" x14ac:dyDescent="0.2">
      <c r="A2" s="3">
        <v>0</v>
      </c>
      <c r="B2" s="5">
        <v>0</v>
      </c>
      <c r="C2">
        <v>2</v>
      </c>
      <c r="D2">
        <v>4</v>
      </c>
      <c r="E2">
        <v>1</v>
      </c>
      <c r="F2">
        <v>0</v>
      </c>
      <c r="G2" s="3">
        <v>0</v>
      </c>
    </row>
    <row r="3" spans="1:8" x14ac:dyDescent="0.2">
      <c r="A3" s="3">
        <v>0</v>
      </c>
      <c r="B3">
        <v>3</v>
      </c>
      <c r="C3">
        <v>1</v>
      </c>
      <c r="D3">
        <v>1</v>
      </c>
      <c r="E3">
        <v>0</v>
      </c>
      <c r="F3">
        <v>1</v>
      </c>
      <c r="G3" s="3">
        <v>0</v>
      </c>
    </row>
    <row r="4" spans="1:8" x14ac:dyDescent="0.2">
      <c r="A4" s="3">
        <v>0</v>
      </c>
      <c r="B4">
        <v>2</v>
      </c>
      <c r="C4">
        <v>4</v>
      </c>
      <c r="D4" s="5">
        <v>1</v>
      </c>
      <c r="E4">
        <v>0</v>
      </c>
      <c r="F4">
        <v>1</v>
      </c>
      <c r="G4" s="3">
        <v>0</v>
      </c>
    </row>
    <row r="5" spans="1:8" x14ac:dyDescent="0.2">
      <c r="A5" s="3">
        <v>0</v>
      </c>
      <c r="B5">
        <v>2</v>
      </c>
      <c r="C5">
        <v>0</v>
      </c>
      <c r="D5">
        <v>5</v>
      </c>
      <c r="E5">
        <v>2</v>
      </c>
      <c r="F5">
        <v>2</v>
      </c>
      <c r="G5" s="3">
        <v>0</v>
      </c>
    </row>
    <row r="6" spans="1:8" x14ac:dyDescent="0.2">
      <c r="A6" s="3">
        <v>0</v>
      </c>
      <c r="B6">
        <v>0</v>
      </c>
      <c r="C6">
        <v>1</v>
      </c>
      <c r="D6">
        <v>3</v>
      </c>
      <c r="E6">
        <v>2</v>
      </c>
      <c r="F6">
        <v>1</v>
      </c>
      <c r="G6" s="3">
        <v>0</v>
      </c>
    </row>
    <row r="7" spans="1:8" x14ac:dyDescent="0.2">
      <c r="A7" s="3">
        <v>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10" spans="1:8" x14ac:dyDescent="0.2">
      <c r="A10" s="4">
        <v>1</v>
      </c>
      <c r="B10" s="4">
        <v>0</v>
      </c>
      <c r="C10" s="4">
        <v>-1</v>
      </c>
    </row>
    <row r="11" spans="1:8" x14ac:dyDescent="0.2">
      <c r="A11" s="4">
        <v>1</v>
      </c>
      <c r="B11" s="4">
        <v>0</v>
      </c>
      <c r="C11" s="4">
        <v>-1</v>
      </c>
    </row>
    <row r="12" spans="1:8" x14ac:dyDescent="0.2">
      <c r="A12" s="4">
        <v>1</v>
      </c>
      <c r="B12" s="4">
        <v>0</v>
      </c>
      <c r="C12" s="4">
        <v>-1</v>
      </c>
    </row>
    <row r="16" spans="1:8" x14ac:dyDescent="0.2">
      <c r="B16" s="5">
        <f>SUMPRODUCT(A1:C3,$A$10:$C$12)</f>
        <v>-3</v>
      </c>
      <c r="C16">
        <f t="shared" ref="C16:F16" si="0">SUMPRODUCT(B1:D3,$A$10:$C$12)</f>
        <v>-2</v>
      </c>
      <c r="D16">
        <f t="shared" si="0"/>
        <v>2</v>
      </c>
      <c r="E16">
        <f t="shared" si="0"/>
        <v>4</v>
      </c>
      <c r="F16">
        <f>SUMPRODUCT(E1:G3,$A$10:$C$12)</f>
        <v>1</v>
      </c>
      <c r="H16" t="s">
        <v>0</v>
      </c>
    </row>
    <row r="17" spans="2:8" x14ac:dyDescent="0.2">
      <c r="B17">
        <f>SUMPRODUCT(A2:C4,$A$10:$C$12)</f>
        <v>-7</v>
      </c>
      <c r="C17">
        <f t="shared" ref="B17:F17" si="1">SUMPRODUCT(B2:D4,$A$10:$C$12)</f>
        <v>-1</v>
      </c>
      <c r="D17">
        <f t="shared" si="1"/>
        <v>6</v>
      </c>
      <c r="E17">
        <f>SUMPRODUCT(D2:F4,$A$10:$C$12)</f>
        <v>4</v>
      </c>
      <c r="F17">
        <f t="shared" si="1"/>
        <v>1</v>
      </c>
    </row>
    <row r="18" spans="2:8" x14ac:dyDescent="0.2">
      <c r="B18">
        <f t="shared" ref="B18:F18" si="2">SUMPRODUCT(A3:C5,$A$10:$C$12)</f>
        <v>-5</v>
      </c>
      <c r="C18">
        <f t="shared" si="2"/>
        <v>0</v>
      </c>
      <c r="D18" s="5">
        <f>SUMPRODUCT(C3:E5,$A$10:$C$12)</f>
        <v>3</v>
      </c>
      <c r="E18">
        <f t="shared" si="2"/>
        <v>3</v>
      </c>
      <c r="F18">
        <f t="shared" si="2"/>
        <v>2</v>
      </c>
    </row>
    <row r="19" spans="2:8" x14ac:dyDescent="0.2">
      <c r="B19">
        <f t="shared" ref="B19:F19" si="3">SUMPRODUCT(A4:C6,$A$10:$C$12)</f>
        <v>-5</v>
      </c>
      <c r="C19">
        <f t="shared" si="3"/>
        <v>-5</v>
      </c>
      <c r="D19">
        <f t="shared" si="3"/>
        <v>1</v>
      </c>
      <c r="E19">
        <f t="shared" si="3"/>
        <v>5</v>
      </c>
      <c r="F19">
        <f t="shared" si="3"/>
        <v>4</v>
      </c>
    </row>
    <row r="20" spans="2:8" x14ac:dyDescent="0.2">
      <c r="B20">
        <f>SUMPRODUCT(A5:C7,$A$10:$C$12)</f>
        <v>-1</v>
      </c>
      <c r="C20">
        <f>SUMPRODUCT(B5:D7,$A$10:$C$12)</f>
        <v>-6</v>
      </c>
      <c r="D20">
        <f>SUMPRODUCT(C5:E7,$A$10:$C$12)</f>
        <v>-3</v>
      </c>
      <c r="E20">
        <f t="shared" ref="B20:F20" si="4">SUMPRODUCT(D5:F7,$A$10:$C$12)</f>
        <v>5</v>
      </c>
      <c r="F20">
        <f>SUMPRODUCT(E5:G7,$A$10:$C$12)</f>
        <v>4</v>
      </c>
    </row>
    <row r="24" spans="2:8" x14ac:dyDescent="0.2">
      <c r="B24">
        <f>SUMPRODUCT(A1:C3,$A$10:$C$12)</f>
        <v>-3</v>
      </c>
      <c r="D24">
        <f>SUMPRODUCT(C1:E3,$A$10:$C$12)</f>
        <v>2</v>
      </c>
      <c r="F24">
        <f>SUMPRODUCT(E1:G3,$A$10:$C$12)</f>
        <v>1</v>
      </c>
    </row>
    <row r="25" spans="2:8" x14ac:dyDescent="0.2">
      <c r="H25" t="s">
        <v>1</v>
      </c>
    </row>
    <row r="26" spans="2:8" x14ac:dyDescent="0.2">
      <c r="B26">
        <f t="shared" ref="B26:B28" si="5">SUMPRODUCT(A3:C5,$A$10:$C$12)</f>
        <v>-5</v>
      </c>
      <c r="D26">
        <f t="shared" ref="D26:D28" si="6">SUMPRODUCT(C3:E5,$A$10:$C$12)</f>
        <v>3</v>
      </c>
      <c r="F26">
        <f t="shared" ref="F26:F28" si="7">SUMPRODUCT(E3:G5,$A$10:$C$12)</f>
        <v>2</v>
      </c>
    </row>
    <row r="28" spans="2:8" x14ac:dyDescent="0.2">
      <c r="B28">
        <f t="shared" si="5"/>
        <v>-1</v>
      </c>
      <c r="D28">
        <f t="shared" si="6"/>
        <v>-3</v>
      </c>
      <c r="F28">
        <f t="shared" si="7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Pandit, SP</dc:creator>
  <cp:lastModifiedBy>Pandit, SP</cp:lastModifiedBy>
  <dcterms:created xsi:type="dcterms:W3CDTF">2025-06-27T16:52:08Z</dcterms:created>
  <dcterms:modified xsi:type="dcterms:W3CDTF">2025-07-09T14:44:21Z</dcterms:modified>
</cp:coreProperties>
</file>